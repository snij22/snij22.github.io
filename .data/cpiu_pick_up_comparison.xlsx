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<sst xmlns="http://schemas.openxmlformats.org/spreadsheetml/2006/main" count="6" uniqueCount="6">
  <si>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FY</t>
  </si>
  <si>
    <t xml:space="preserve">total taxes allowed</t>
  </si>
  <si>
    <t xml:space="preserve">CPIU increase</t>
  </si>
  <si>
    <t xml:space="preserve">Pick up</t>
  </si>
  <si>
    <t xml:space="preserve">pick_up_pct</t>
  </si>
  <si>
    <t xml:space="preserve">cpiu_pct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</si>
</sst>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2027</v>
      </c>
      <c r="B2" s="0" t="n">
        <v>20997771</v>
      </c>
      <c r="C2" s="0" t="n">
        <v>547694</v>
      </c>
      <c r="D2" s="0" t="n">
        <v>165111</v>
      </c>
      <c r="E2" s="1" t="n">
        <f aca="false">D2/B2</f>
        <v>0.00786326320065115</v>
      </c>
      <c r="F2" s="1" t="n">
        <f aca="false">C2/B2</f>
        <v>0.0260834352370068</v>
      </c>
    </row>
    <row r="3" customFormat="false" ht="12.8" hidden="false" customHeight="false" outlineLevel="0" collapsed="false">
      <c r="A3" s="0" t="n">
        <v>2026</v>
      </c>
      <c r="B3" s="0" t="n">
        <v>20284966</v>
      </c>
      <c r="C3" s="0" t="n">
        <v>569269</v>
      </c>
      <c r="D3" s="0" t="n">
        <v>85715</v>
      </c>
      <c r="E3" s="1" t="n">
        <f aca="false">D3/B3</f>
        <v>0.00422554319292426</v>
      </c>
      <c r="F3" s="1" t="n">
        <f aca="false">C3/B3</f>
        <v>0.0280635915288199</v>
      </c>
    </row>
    <row r="4" customFormat="false" ht="12.8" hidden="false" customHeight="false" outlineLevel="0" collapsed="false">
      <c r="A4" s="0" t="n">
        <v>2025</v>
      </c>
      <c r="B4" s="0" t="n">
        <v>19238752</v>
      </c>
      <c r="C4" s="0" t="n">
        <v>630470</v>
      </c>
      <c r="D4" s="0" t="n">
        <v>65040</v>
      </c>
      <c r="E4" s="1" t="n">
        <f aca="false">D4/B4</f>
        <v>0.00338067666759258</v>
      </c>
      <c r="F4" s="1" t="n">
        <f aca="false">C4/B4</f>
        <v>0.0327708366946047</v>
      </c>
    </row>
    <row r="5" customFormat="false" ht="12.8" hidden="false" customHeight="false" outlineLevel="0" collapsed="false">
      <c r="A5" s="0" t="n">
        <v>2024</v>
      </c>
      <c r="B5" s="0" t="n">
        <v>18543242</v>
      </c>
      <c r="C5" s="0" t="n">
        <v>1116046</v>
      </c>
      <c r="D5" s="0" t="n">
        <v>257263</v>
      </c>
      <c r="E5" s="1" t="n">
        <f aca="false">D5/B5</f>
        <v>0.013873679694198</v>
      </c>
      <c r="F5" s="1" t="n">
        <f aca="false">C5/B5</f>
        <v>0.0601861314218948</v>
      </c>
    </row>
    <row r="6" customFormat="false" ht="12.8" hidden="false" customHeight="false" outlineLevel="0" collapsed="false">
      <c r="A6" s="0" t="n">
        <v>2023</v>
      </c>
      <c r="B6" s="0" t="n">
        <v>17169934</v>
      </c>
      <c r="C6" s="0" t="n">
        <v>1123267</v>
      </c>
      <c r="D6" s="0" t="n">
        <v>0</v>
      </c>
      <c r="E6" s="1" t="n">
        <f aca="false">D6/B6</f>
        <v>0</v>
      </c>
      <c r="F6" s="1" t="n">
        <f aca="false">C6/B6</f>
        <v>0.0654205776213234</v>
      </c>
    </row>
    <row r="7" customFormat="false" ht="12.8" hidden="false" customHeight="false" outlineLevel="0" collapsed="false">
      <c r="A7" s="0" t="n">
        <v>2022</v>
      </c>
      <c r="B7" s="0" t="n">
        <v>16049113</v>
      </c>
      <c r="C7" s="0" t="n">
        <v>220468</v>
      </c>
      <c r="D7" s="0" t="n">
        <v>80964</v>
      </c>
      <c r="E7" s="1" t="n">
        <f aca="false">D7/B7</f>
        <v>0.00504476477921241</v>
      </c>
      <c r="F7" s="1" t="n">
        <f aca="false">C7/B7</f>
        <v>0.0137370831646584</v>
      </c>
    </row>
    <row r="8" customFormat="false" ht="12.8" hidden="false" customHeight="false" outlineLevel="0" collapsed="false">
      <c r="A8" s="0" t="n">
        <v>2021</v>
      </c>
      <c r="B8" s="0" t="n">
        <v>15747681</v>
      </c>
      <c r="C8" s="0" t="n">
        <v>351500</v>
      </c>
      <c r="D8" s="0" t="n">
        <v>113558</v>
      </c>
      <c r="E8" s="1" t="n">
        <f aca="false">D8/B8</f>
        <v>0.00721109349370234</v>
      </c>
      <c r="F8" s="1" t="n">
        <f aca="false">C8/B8</f>
        <v>0.0223207467817007</v>
      </c>
    </row>
    <row r="9" customFormat="false" ht="12.8" hidden="false" customHeight="false" outlineLevel="0" collapsed="false">
      <c r="A9" s="0" t="n">
        <v>2020</v>
      </c>
      <c r="B9" s="0" t="n">
        <v>15286893</v>
      </c>
      <c r="C9" s="0" t="n">
        <v>284637</v>
      </c>
      <c r="D9" s="0" t="n">
        <v>21368</v>
      </c>
      <c r="E9" s="1" t="n">
        <f aca="false">D9/B9</f>
        <v>0.00139779875478948</v>
      </c>
      <c r="F9" s="1" t="n">
        <f aca="false">C9/B9</f>
        <v>0.018619676346266</v>
      </c>
    </row>
    <row r="10" customFormat="false" ht="12.8" hidden="false" customHeight="false" outlineLevel="0" collapsed="false">
      <c r="A10" s="0" t="n">
        <v>2019</v>
      </c>
      <c r="B10" s="0" t="n">
        <v>14980888</v>
      </c>
      <c r="C10" s="0" t="n">
        <v>300990</v>
      </c>
      <c r="D10" s="0" t="n">
        <v>347047</v>
      </c>
      <c r="E10" s="1" t="n">
        <f aca="false">D10/B10</f>
        <v>0.0231659832180843</v>
      </c>
      <c r="F10" s="1" t="n">
        <f aca="false">C10/B10</f>
        <v>0.0200915993764856</v>
      </c>
    </row>
    <row r="11" customFormat="false" ht="12.8" hidden="false" customHeight="false" outlineLevel="0" collapsed="false">
      <c r="A11" s="0" t="n">
        <v>2018</v>
      </c>
      <c r="B11" s="0" t="n">
        <v>14150077</v>
      </c>
      <c r="C11" s="0" t="n">
        <v>283274</v>
      </c>
      <c r="D11" s="0" t="n">
        <v>377577</v>
      </c>
      <c r="E11" s="1" t="n">
        <f aca="false">D11/B11</f>
        <v>0.0266837417209815</v>
      </c>
      <c r="F11" s="1" t="n">
        <f aca="false">C11/B11</f>
        <v>0.020019255018895</v>
      </c>
    </row>
    <row r="12" customFormat="false" ht="12.8" hidden="false" customHeight="false" outlineLevel="0" collapsed="false">
      <c r="A12" s="0" t="n">
        <v>2017</v>
      </c>
      <c r="B12" s="0" t="n">
        <v>13272853</v>
      </c>
      <c r="C12" s="0" t="n">
        <v>91481</v>
      </c>
      <c r="D12" s="0" t="n">
        <v>112635</v>
      </c>
      <c r="E12" s="1" t="n">
        <f aca="false">D12/B12</f>
        <v>0.00848611824451005</v>
      </c>
      <c r="F12" s="1" t="n">
        <f aca="false">C12/B12</f>
        <v>0.00689233882120144</v>
      </c>
    </row>
    <row r="13" customFormat="false" ht="12.8" hidden="false" customHeight="false" outlineLevel="0" collapsed="false">
      <c r="A13" s="0" t="n">
        <v>2016</v>
      </c>
      <c r="B13" s="0" t="n">
        <v>13074099</v>
      </c>
      <c r="C13" s="0" t="n">
        <v>102930</v>
      </c>
      <c r="D13" s="0" t="n">
        <v>104910</v>
      </c>
      <c r="E13" s="1" t="n">
        <f aca="false">D13/B13</f>
        <v>0.00802426232201546</v>
      </c>
      <c r="F13" s="1" t="n">
        <f aca="false">C13/B13</f>
        <v>0.0078728178515399</v>
      </c>
    </row>
    <row r="14" customFormat="false" ht="12.8" hidden="false" customHeight="false" outlineLevel="0" collapsed="false">
      <c r="A14" s="0" t="n">
        <v>2015</v>
      </c>
      <c r="B14" s="0" t="n">
        <v>12871442</v>
      </c>
      <c r="C14" s="0" t="n">
        <v>188619</v>
      </c>
      <c r="D14" s="0" t="n">
        <v>108243</v>
      </c>
      <c r="E14" s="1" t="n">
        <f aca="false">D14/B14</f>
        <v>0.00840954727527809</v>
      </c>
      <c r="F14" s="1" t="n">
        <f aca="false">C14/B14</f>
        <v>0.0146540690623475</v>
      </c>
    </row>
    <row r="15" customFormat="false" ht="12.8" hidden="false" customHeight="false" outlineLevel="0" collapsed="false">
      <c r="A15" s="0" t="n">
        <v>2014</v>
      </c>
      <c r="B15" s="0" t="n">
        <v>12771706</v>
      </c>
      <c r="C15" s="0" t="n">
        <v>212248</v>
      </c>
      <c r="D15" s="0" t="n">
        <v>74304</v>
      </c>
      <c r="E15" s="1" t="n">
        <f aca="false">D15/B15</f>
        <v>0.0058178601981599</v>
      </c>
      <c r="F15" s="1" t="n">
        <f aca="false">C15/B15</f>
        <v>0.0166186099178919</v>
      </c>
    </row>
    <row r="16" customFormat="false" ht="12.8" hidden="false" customHeight="false" outlineLevel="0" collapsed="false">
      <c r="A16" s="0" t="n">
        <v>2013</v>
      </c>
      <c r="B16" s="0" t="n">
        <v>12488517</v>
      </c>
      <c r="C16" s="0" t="n">
        <v>362080</v>
      </c>
      <c r="D16" s="0" t="n">
        <v>57102</v>
      </c>
      <c r="E16" s="1" t="n">
        <f aca="false">D16/B16</f>
        <v>0.00457236035311479</v>
      </c>
      <c r="F16" s="1" t="n">
        <f aca="false">C16/B16</f>
        <v>0.0289930341609016</v>
      </c>
    </row>
    <row r="17" customFormat="false" ht="12.8" hidden="false" customHeight="false" outlineLevel="0" collapsed="false">
      <c r="A17" s="0" t="n">
        <v>2012</v>
      </c>
      <c r="B17" s="0" t="n">
        <v>12037860</v>
      </c>
      <c r="C17" s="0" t="n">
        <v>177768</v>
      </c>
      <c r="D17" s="0" t="n">
        <v>8899</v>
      </c>
      <c r="E17" s="1" t="n">
        <f aca="false">D17/B17</f>
        <v>0.000739250996439567</v>
      </c>
      <c r="F17" s="1" t="n">
        <f aca="false">C17/B17</f>
        <v>0.0147674088251566</v>
      </c>
    </row>
    <row r="18" customFormat="false" ht="12.8" hidden="false" customHeight="false" outlineLevel="0" collapsed="false">
      <c r="A18" s="0" t="n">
        <v>2011</v>
      </c>
      <c r="B18" s="0" t="n">
        <v>11862484</v>
      </c>
      <c r="C18" s="0" t="n">
        <v>310784</v>
      </c>
      <c r="D18" s="0" t="n">
        <v>41180</v>
      </c>
      <c r="E18" s="1" t="n">
        <f aca="false">D18/B18</f>
        <v>0.00347144830711679</v>
      </c>
      <c r="F18" s="1" t="n">
        <f aca="false">C18/B18</f>
        <v>0.0261988972967213</v>
      </c>
    </row>
    <row r="19" customFormat="false" ht="12.8" hidden="false" customHeight="false" outlineLevel="0" collapsed="false">
      <c r="A19" s="0" t="n">
        <v>2010</v>
      </c>
      <c r="B19" s="0" t="n">
        <v>11602088</v>
      </c>
      <c r="C19" s="0" t="n">
        <v>11131</v>
      </c>
      <c r="D19" s="0" t="n">
        <v>10211</v>
      </c>
      <c r="E19" s="1" t="n">
        <f aca="false">D19/B19</f>
        <v>0.000880100202653178</v>
      </c>
      <c r="F19" s="1" t="n">
        <f aca="false">C19/B19</f>
        <v>0.000959396274187888</v>
      </c>
    </row>
    <row r="20" customFormat="false" ht="12.8" hidden="false" customHeight="false" outlineLevel="0" collapsed="false">
      <c r="A20" s="0" t="n">
        <v>2009</v>
      </c>
      <c r="B20" s="0" t="n">
        <v>11731983</v>
      </c>
      <c r="C20" s="0" t="n">
        <v>457164</v>
      </c>
      <c r="D20" s="0" t="n">
        <v>124476</v>
      </c>
      <c r="E20" s="1" t="n">
        <f aca="false">D20/B20</f>
        <v>0.0106099710509298</v>
      </c>
      <c r="F20" s="1" t="n">
        <f aca="false">C20/B20</f>
        <v>0.0389673254725991</v>
      </c>
    </row>
    <row r="21" customFormat="false" ht="12.8" hidden="false" customHeight="false" outlineLevel="0" collapsed="false">
      <c r="A21" s="0" t="n">
        <v>2008</v>
      </c>
      <c r="B21" s="0" t="n">
        <v>11157225</v>
      </c>
      <c r="C21" s="0" t="n">
        <v>269823</v>
      </c>
      <c r="D21" s="0" t="n">
        <v>94500</v>
      </c>
      <c r="E21" s="1" t="n">
        <f aca="false">D21/B21</f>
        <v>0.00846984801328287</v>
      </c>
      <c r="F21" s="1" t="n">
        <f aca="false">C21/B21</f>
        <v>0.0241837015924659</v>
      </c>
    </row>
    <row r="22" customFormat="false" ht="12.8" hidden="false" customHeight="false" outlineLevel="0" collapsed="false">
      <c r="A22" s="0" t="n">
        <v>2007</v>
      </c>
      <c r="B22" s="0" t="n">
        <v>10614855</v>
      </c>
      <c r="C22" s="0" t="n">
        <v>343066</v>
      </c>
      <c r="D22" s="0" t="n">
        <v>181600</v>
      </c>
      <c r="E22" s="1" t="n">
        <f aca="false">D22/B22</f>
        <v>0.0171080999222316</v>
      </c>
      <c r="F22" s="1" t="n">
        <f aca="false">C22/B22</f>
        <v>0.0323194240524247</v>
      </c>
    </row>
    <row r="23" customFormat="false" ht="12.8" hidden="false" customHeight="false" outlineLevel="0" collapsed="false">
      <c r="A23" s="0" t="n">
        <v>2006</v>
      </c>
      <c r="B23" s="0" t="n">
        <v>10081532</v>
      </c>
      <c r="C23" s="0" t="n">
        <v>315181</v>
      </c>
      <c r="D23" s="0" t="n">
        <v>215400</v>
      </c>
      <c r="E23" s="1" t="n">
        <f aca="false">D23/B23</f>
        <v>0.0213658003565331</v>
      </c>
      <c r="F23" s="1" t="n">
        <f aca="false">C23/B23</f>
        <v>0.0312632048383123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2026-07-31T01:16:21Z</dcterms:created>
  <dc:creator/>
  <dc:description/>
  <dc:language>en-US</dc:language>
  <cp:lastModifiedBy/>
  <dcterms:modified xsi:type="dcterms:W3CDTF">2026-07-31T01:53:58Z</dcterms:modified>
  <cp:revision>4</cp:revision>
  <dc:subject/>
  <dc:title/>
</cp:coreProperties>
</file>